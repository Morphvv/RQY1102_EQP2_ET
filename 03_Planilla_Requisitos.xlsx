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del Proyecto" sheetId="1" r:id="rId4"/>
    <sheet state="visible" name="Requisitos Funcionales" sheetId="2" r:id="rId5"/>
    <sheet state="visible" name="Requisitos No Funcionales" sheetId="3" r:id="rId6"/>
    <sheet state="visible" name="Planificación del Proyecto" sheetId="4" r:id="rId7"/>
    <sheet state="visible" name="Control de Versiones" sheetId="5" r:id="rId8"/>
  </sheets>
  <definedNames/>
  <calcPr/>
  <extLst>
    <ext uri="GoogleSheetsCustomDataVersion2">
      <go:sheetsCustomData xmlns:go="http://customooxmlschemas.google.com/" r:id="rId9" roundtripDataChecksum="VF8CpAe80Yvzr354eT7tLFz+mkqWPCR4aXeAnkluEOg="/>
    </ext>
  </extLst>
</workbook>
</file>

<file path=xl/sharedStrings.xml><?xml version="1.0" encoding="utf-8"?>
<sst xmlns="http://schemas.openxmlformats.org/spreadsheetml/2006/main" count="234" uniqueCount="195">
  <si>
    <t>Sistema de Gestión de Gastos Comunes - Edificio El Mirador</t>
  </si>
  <si>
    <t>Cuadro de Mando y Resumen de Arquitectura de Software (DAS)</t>
  </si>
  <si>
    <t>1.6</t>
  </si>
  <si>
    <t>En Desarrollo</t>
  </si>
  <si>
    <t>Total Requisitos</t>
  </si>
  <si>
    <t>Versión Actual</t>
  </si>
  <si>
    <t>Estado General</t>
  </si>
  <si>
    <t>Información General del Proyecto</t>
  </si>
  <si>
    <t>Proyecto</t>
  </si>
  <si>
    <t>Cliente/Contexto</t>
  </si>
  <si>
    <t>Condominio de 20 pisos, 160 departamentos</t>
  </si>
  <si>
    <t>Equipo de Desarrollo</t>
  </si>
  <si>
    <t>Grupo Jp.Ag.AGodoy</t>
  </si>
  <si>
    <t>Integrantes</t>
  </si>
  <si>
    <t>Agustin Momberg, Aaliyah Godoy, Juan Pablo Jofre</t>
  </si>
  <si>
    <t>Institución</t>
  </si>
  <si>
    <t>Duoc UC - Escuela de Informática y Telecomunicaciones</t>
  </si>
  <si>
    <t>Asignatura</t>
  </si>
  <si>
    <t>Ingeniería de Software | RQY1102</t>
  </si>
  <si>
    <t>Patrón Arquitectónico</t>
  </si>
  <si>
    <t>MVC (Modelo-Vista-Controlador)</t>
  </si>
  <si>
    <t>Enfoque Arquitectura</t>
  </si>
  <si>
    <t>Monolítica Modular (Vistas 4+1)</t>
  </si>
  <si>
    <t>Última Revisión</t>
  </si>
  <si>
    <t>09-04-2026</t>
  </si>
  <si>
    <t>Matriz de Requisitos Funcionales (RF)</t>
  </si>
  <si>
    <t>ID</t>
  </si>
  <si>
    <t>Nombre de Requisito</t>
  </si>
  <si>
    <t>Descripción Técnica (DAS)</t>
  </si>
  <si>
    <t>Módulo / Paquete</t>
  </si>
  <si>
    <t>Prioridad</t>
  </si>
  <si>
    <t>Estado</t>
  </si>
  <si>
    <t>RF-01</t>
  </si>
  <si>
    <t>Gestión de usuarios</t>
  </si>
  <si>
    <t>El sistema debe permitir el registro, actualización, inactivación y consulta de usuarios del sistema.</t>
  </si>
  <si>
    <t>Gestión de Usuarios y Roles</t>
  </si>
  <si>
    <t>Alta</t>
  </si>
  <si>
    <t>Completado</t>
  </si>
  <si>
    <t>RF-02</t>
  </si>
  <si>
    <t>Gestión de roles y permisos</t>
  </si>
  <si>
    <t>El sistema debe permitir la asignación y actualización de roles y permisos específicos para accesos diferenciados.</t>
  </si>
  <si>
    <t>RF-03</t>
  </si>
  <si>
    <t>Gestión de usuarios y perfiles</t>
  </si>
  <si>
    <t>El sistema debe permitir a los usuarios actualizar sus datos de perfil y credenciales con validación.</t>
  </si>
  <si>
    <t>Media</t>
  </si>
  <si>
    <t>RF-04</t>
  </si>
  <si>
    <t>gestion de residentes</t>
  </si>
  <si>
    <t>Permitir a la administración ingresar, prorratear y emitir el cobro mensual de gastos comunes de las 160 unidades.</t>
  </si>
  <si>
    <t>Gestión Financiera</t>
  </si>
  <si>
    <t>En Progreso</t>
  </si>
  <si>
    <t>RF-05</t>
  </si>
  <si>
    <t>gestion de unidades habitacionales</t>
  </si>
  <si>
    <t>Automatización del registro de pagos, control de morosidad y generación de comprobantes digitales.</t>
  </si>
  <si>
    <t>RF-06</t>
  </si>
  <si>
    <t>Calculo automatico de cuotas</t>
  </si>
  <si>
    <t>Visualización de métricas de recaudación, morosidad acumulada y estados financieros en tiempo real.</t>
  </si>
  <si>
    <t>Monitoreo y Control</t>
  </si>
  <si>
    <t>Pendiente</t>
  </si>
  <si>
    <t>RF-07</t>
  </si>
  <si>
    <t>Gestion de gastos comunes y pagos</t>
  </si>
  <si>
    <t>Registro, asignación y seguimiento de solicitudes o reclamos de los residentes del condominio.</t>
  </si>
  <si>
    <t>Módulo de Comunicación</t>
  </si>
  <si>
    <t>Baja</t>
  </si>
  <si>
    <t>RF-08</t>
  </si>
  <si>
    <t>Gestion de gastos extraordinarios</t>
  </si>
  <si>
    <t>Envío automatizado de avisos de cobro y alertas de morosidad por canales digitales.</t>
  </si>
  <si>
    <t>RF-09</t>
  </si>
  <si>
    <t>generacion de recibos de pago</t>
  </si>
  <si>
    <t>RF-10</t>
  </si>
  <si>
    <t>Gestion de morosidad</t>
  </si>
  <si>
    <t>RF-11</t>
  </si>
  <si>
    <t>Configuracion de notificaciones</t>
  </si>
  <si>
    <t>RF-12</t>
  </si>
  <si>
    <t>Programacion de notificaciones</t>
  </si>
  <si>
    <t>RF-13</t>
  </si>
  <si>
    <t>Notificaciones multiples</t>
  </si>
  <si>
    <t>RF-14</t>
  </si>
  <si>
    <t>Historial de comunicaciones</t>
  </si>
  <si>
    <t>RF-15</t>
  </si>
  <si>
    <t>Registro de solicitudes de mantenimiento</t>
  </si>
  <si>
    <t>RF-16</t>
  </si>
  <si>
    <t>Gestion de solicitudes de quejas</t>
  </si>
  <si>
    <t>RF-17</t>
  </si>
  <si>
    <t>Acceso a información en tiempo rea</t>
  </si>
  <si>
    <t>RF-18</t>
  </si>
  <si>
    <t>Consulta de información por parte de residentes</t>
  </si>
  <si>
    <t>RF-19</t>
  </si>
  <si>
    <t>Consulta administrativa avanzada</t>
  </si>
  <si>
    <t>RF-20</t>
  </si>
  <si>
    <t>Búsqueda y filtros</t>
  </si>
  <si>
    <t>RF-21</t>
  </si>
  <si>
    <t>Panel de control administrativo</t>
  </si>
  <si>
    <t>RF-22</t>
  </si>
  <si>
    <t>Generación de informes generales</t>
  </si>
  <si>
    <t>RF-23</t>
  </si>
  <si>
    <t>Generación de reportes financieros</t>
  </si>
  <si>
    <t>RF-24</t>
  </si>
  <si>
    <t>Reporte de morosidad</t>
  </si>
  <si>
    <t>RF-25</t>
  </si>
  <si>
    <t>Reporte de pagos realizados</t>
  </si>
  <si>
    <t>RF-26</t>
  </si>
  <si>
    <t>Reporte de gastos comunes y extraordinarios</t>
  </si>
  <si>
    <t>RF-27</t>
  </si>
  <si>
    <t>Reporte de estado de cuenta por residente</t>
  </si>
  <si>
    <t>RF-28</t>
  </si>
  <si>
    <t>Reporte de solicitudes y mantenimiento</t>
  </si>
  <si>
    <t>RF-29</t>
  </si>
  <si>
    <t>Exportación de reportes</t>
  </si>
  <si>
    <t>RF-30</t>
  </si>
  <si>
    <t>Programación de reportes automáticos</t>
  </si>
  <si>
    <t>Atributos de Calidad y Requisitos No Funcionales (RNF)</t>
  </si>
  <si>
    <t>Atributo de Calidad</t>
  </si>
  <si>
    <t>Criterio de Evaluación / Requisito Técnico</t>
  </si>
  <si>
    <t>Mecanismo de Verificación (DAS)</t>
  </si>
  <si>
    <t>RNF-01</t>
  </si>
  <si>
    <t>Usabilidad (Heurísticas)</t>
  </si>
  <si>
    <t>Implementar autenticación segura, control de acceso basado en roles (RBAC) y encriptación de datos sensibles.</t>
  </si>
  <si>
    <t>Pruebas de penetración y control de acceso por rol.</t>
  </si>
  <si>
    <t>RNF-02</t>
  </si>
  <si>
    <t>Accesibilidad</t>
  </si>
  <si>
    <t>Cumplimiento de las 10 heurísticas de Nielsen. Mitigar la eliminación permanente sin confirmación (H5).</t>
  </si>
  <si>
    <t>Evaluación heurística mediante prototipo en Figma.</t>
  </si>
  <si>
    <t>RNF-03</t>
  </si>
  <si>
    <t>Compatibilidad</t>
  </si>
  <si>
    <t>Arquitectura Monolítica Modular responsiva adaptable a múltiples dispositivos de forma eficiente.</t>
  </si>
  <si>
    <t>Monitoreo de tiempos de respuesta del servidor web.</t>
  </si>
  <si>
    <t>RNF-04</t>
  </si>
  <si>
    <t>Trazabilidad / Mantenimiento</t>
  </si>
  <si>
    <t>Esquema estricto de control de versiones utilizando versionamiento semántico e historial de revisiones.</t>
  </si>
  <si>
    <t>Auditoría de repositorio y matriz de trazabilidad.</t>
  </si>
  <si>
    <t>RNF-05</t>
  </si>
  <si>
    <t>RNF-06</t>
  </si>
  <si>
    <t>RNF-07</t>
  </si>
  <si>
    <t>RNF-08</t>
  </si>
  <si>
    <t>RNF-09</t>
  </si>
  <si>
    <t>RNF-10</t>
  </si>
  <si>
    <t>RNF-11</t>
  </si>
  <si>
    <t>Ciclo de Vida del Software y Planificación (Carta Gantt)</t>
  </si>
  <si>
    <t>Fase</t>
  </si>
  <si>
    <t>Descripción de Actividades</t>
  </si>
  <si>
    <t>Inicio Estimado</t>
  </si>
  <si>
    <t>Término Estimado</t>
  </si>
  <si>
    <t>Responsable Principal</t>
  </si>
  <si>
    <t>Análisis</t>
  </si>
  <si>
    <t>Levantamiento de requerimientos del Edificio El Mirador y definición de alcance.</t>
  </si>
  <si>
    <t>04-04-2026</t>
  </si>
  <si>
    <t>Agustin M. / Aaliyah G.</t>
  </si>
  <si>
    <t>Diseño</t>
  </si>
  <si>
    <t>Modelado Arquitectónico Vista 4+1 (Escenario, Lógica, Desarrollo, Proceso, Física).</t>
  </si>
  <si>
    <t>10-04-2026</t>
  </si>
  <si>
    <t>30-04-2026</t>
  </si>
  <si>
    <t>Juan Pablo Jofre</t>
  </si>
  <si>
    <t>Prototipado</t>
  </si>
  <si>
    <t>Diseño de interfaz en Figma y evaluación de Usabilidad de Nielsen.</t>
  </si>
  <si>
    <t>01-05-2026</t>
  </si>
  <si>
    <t>15-05-2026</t>
  </si>
  <si>
    <t>Equipo Grupo Jp.Ag.AG</t>
  </si>
  <si>
    <t>Desarrollo</t>
  </si>
  <si>
    <t>Codificación de Módulos (Usuarios, Financiero, Control) en base a capas de software.</t>
  </si>
  <si>
    <t>16-05-2026</t>
  </si>
  <si>
    <t>15-06-2026</t>
  </si>
  <si>
    <t>Testing</t>
  </si>
  <si>
    <t>Validación de Atributos de Calidad, corrección del error H5 de prevención de errores.</t>
  </si>
  <si>
    <t>16-06-2026</t>
  </si>
  <si>
    <t>30-06-2026</t>
  </si>
  <si>
    <t>Mantenimiento</t>
  </si>
  <si>
    <t>Despliegue en servidor web, control de versiones final y entrega del sistema.</t>
  </si>
  <si>
    <t>01-07-2026</t>
  </si>
  <si>
    <t>15-07-2026</t>
  </si>
  <si>
    <t>Historial de Revisiones del DAS</t>
  </si>
  <si>
    <t>Fecha</t>
  </si>
  <si>
    <t>Versión</t>
  </si>
  <si>
    <t>Descripción de Modificaciones / Hitos</t>
  </si>
  <si>
    <t>Autor</t>
  </si>
  <si>
    <t>1.0</t>
  </si>
  <si>
    <t>Inicio y desarrollo inicial del informe técnico.</t>
  </si>
  <si>
    <t>Agustin Momberg, Aaliyah Godoy</t>
  </si>
  <si>
    <t>05-04-2026</t>
  </si>
  <si>
    <t>1.1</t>
  </si>
  <si>
    <t>Revisión general y modificaciones estructurales.</t>
  </si>
  <si>
    <t>1.2</t>
  </si>
  <si>
    <t>Modificación y ajustes específicos de los puntos 1.3 y 1.6 del documento.</t>
  </si>
  <si>
    <t>18-05-2026</t>
  </si>
  <si>
    <t>1.3</t>
  </si>
  <si>
    <t>Desarrollo de los capítulos intermedios y adición de requerimientos.</t>
  </si>
  <si>
    <t>Aaliyah Godoy</t>
  </si>
  <si>
    <t>19-05-2026</t>
  </si>
  <si>
    <t>1.4</t>
  </si>
  <si>
    <t>Revisión y ajustes minuciosos de los puntos 1.1 al 4.1.2 del DAS.</t>
  </si>
  <si>
    <t>20-05-2026</t>
  </si>
  <si>
    <t>1.5</t>
  </si>
  <si>
    <t>Realización de los puntos de arquitectura avanzada: 4.2, 4.3, 4.5 y Sección 5.</t>
  </si>
  <si>
    <t>22-05-2026</t>
  </si>
  <si>
    <t>Consolidación de atributos de calidad, heurísticas de usabilidad y cierre.</t>
  </si>
  <si>
    <t>Equipo Desarrollo Grupo Jp.Ag.AGodoy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</si>
</sst>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6.0"/>
      <color rgb="FF1F4E78"/>
      <name val="Calibri"/>
    </font>
    <font>
      <i/>
      <sz val="11.0"/>
      <color rgb="FF595959"/>
      <name val="Calibri"/>
    </font>
    <font>
      <b/>
      <sz val="18.0"/>
      <color rgb="FF1F4E78"/>
      <name val="Calibri"/>
    </font>
    <font/>
    <font>
      <b/>
      <sz val="9.0"/>
      <color rgb="FF595959"/>
      <name val="Calibri"/>
    </font>
    <font>
      <b/>
      <sz val="13.0"/>
      <color rgb="FF1F4E78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rgb="FFC65911"/>
      <name val="Calibri"/>
    </font>
    <font>
      <b/>
      <sz val="11.0"/>
      <color rgb="FF375623"/>
      <name val="Calibri"/>
    </font>
    <font>
      <b/>
      <sz val="11.0"/>
      <color rgb="FF7F6000"/>
      <name val="Calibri"/>
    </font>
    <font>
      <color theme="1"/>
      <name val="Calibri"/>
      <scheme val="minor"/>
    </font>
    <font>
      <sz val="12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D9E1F2"/>
        <bgColor rgb="FFD9E1F2"/>
      </patternFill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1" fillId="2" fontId="5" numFmtId="0" xfId="0" applyAlignment="1" applyBorder="1" applyFont="1">
      <alignment horizontal="center" vertical="center"/>
    </xf>
    <xf borderId="0" fillId="0" fontId="6" numFmtId="0" xfId="0" applyFont="1"/>
    <xf borderId="3" fillId="3" fontId="7" numFmtId="0" xfId="0" applyBorder="1" applyFill="1" applyFont="1"/>
    <xf borderId="3" fillId="0" fontId="8" numFmtId="0" xfId="0" applyBorder="1" applyFont="1"/>
    <xf borderId="4" fillId="4" fontId="9" numFmtId="0" xfId="0" applyAlignment="1" applyBorder="1" applyFill="1" applyFont="1">
      <alignment horizontal="center" vertical="center"/>
    </xf>
    <xf borderId="3" fillId="5" fontId="8" numFmtId="0" xfId="0" applyAlignment="1" applyBorder="1" applyFill="1" applyFont="1">
      <alignment horizontal="center" vertical="center"/>
    </xf>
    <xf borderId="3" fillId="5" fontId="8" numFmtId="0" xfId="0" applyAlignment="1" applyBorder="1" applyFont="1">
      <alignment horizontal="left" readingOrder="0" vertical="center"/>
    </xf>
    <xf borderId="3" fillId="5" fontId="8" numFmtId="0" xfId="0" applyAlignment="1" applyBorder="1" applyFont="1">
      <alignment horizontal="left" shrinkToFit="0" vertical="top" wrapText="1"/>
    </xf>
    <xf borderId="3" fillId="5" fontId="8" numFmtId="0" xfId="0" applyAlignment="1" applyBorder="1" applyFont="1">
      <alignment horizontal="left" vertical="center"/>
    </xf>
    <xf borderId="3" fillId="6" fontId="10" numFmtId="0" xfId="0" applyAlignment="1" applyBorder="1" applyFill="1" applyFont="1">
      <alignment horizontal="center" vertical="center"/>
    </xf>
    <xf borderId="3" fillId="7" fontId="11" numFmtId="0" xfId="0" applyAlignment="1" applyBorder="1" applyFill="1" applyFont="1">
      <alignment horizontal="center" vertical="center"/>
    </xf>
    <xf borderId="3" fillId="0" fontId="8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left" vertical="center"/>
    </xf>
    <xf borderId="3" fillId="0" fontId="8" numFmtId="0" xfId="0" applyAlignment="1" applyBorder="1" applyFont="1">
      <alignment horizontal="left" shrinkToFit="0" vertical="top" wrapText="1"/>
    </xf>
    <xf borderId="3" fillId="8" fontId="12" numFmtId="0" xfId="0" applyAlignment="1" applyBorder="1" applyFill="1" applyFont="1">
      <alignment horizontal="center" vertical="center"/>
    </xf>
    <xf borderId="3" fillId="0" fontId="8" numFmtId="0" xfId="0" applyAlignment="1" applyBorder="1" applyFont="1">
      <alignment horizontal="left" readingOrder="0" vertical="center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3" width="50.0"/>
    <col customWidth="1" min="4" max="4" width="10.0"/>
    <col customWidth="1" min="5" max="5" width="17.0"/>
    <col customWidth="1" min="6" max="7" width="10.0"/>
    <col customWidth="1" min="8" max="8" width="17.0"/>
    <col customWidth="1" min="9" max="9" width="10.0"/>
    <col customWidth="1" min="10" max="26" width="8.71"/>
  </cols>
  <sheetData>
    <row r="2">
      <c r="B2" s="1" t="s">
        <v>0</v>
      </c>
    </row>
    <row r="3">
      <c r="B3" s="2" t="s">
        <v>1</v>
      </c>
    </row>
    <row r="5">
      <c r="B5" s="3">
        <f>COUNTA('Requisitos Funcionales'!B7:B20) + COUNTA('Requisitos No Funcionales'!B7:B12)</f>
        <v>20</v>
      </c>
      <c r="C5" s="4"/>
      <c r="E5" s="3" t="s">
        <v>2</v>
      </c>
      <c r="F5" s="4"/>
      <c r="H5" s="3" t="s">
        <v>3</v>
      </c>
      <c r="I5" s="4"/>
    </row>
    <row r="6">
      <c r="B6" s="5" t="s">
        <v>4</v>
      </c>
      <c r="C6" s="4"/>
      <c r="E6" s="5" t="s">
        <v>5</v>
      </c>
      <c r="F6" s="4"/>
      <c r="H6" s="5" t="s">
        <v>6</v>
      </c>
      <c r="I6" s="4"/>
    </row>
    <row r="9">
      <c r="B9" s="6" t="s">
        <v>7</v>
      </c>
    </row>
    <row r="11">
      <c r="B11" s="7" t="s">
        <v>8</v>
      </c>
      <c r="C11" s="8" t="s">
        <v>0</v>
      </c>
    </row>
    <row r="12">
      <c r="B12" s="7" t="s">
        <v>9</v>
      </c>
      <c r="C12" s="8" t="s">
        <v>10</v>
      </c>
    </row>
    <row r="13">
      <c r="B13" s="7" t="s">
        <v>11</v>
      </c>
      <c r="C13" s="8" t="s">
        <v>12</v>
      </c>
    </row>
    <row r="14">
      <c r="B14" s="7" t="s">
        <v>13</v>
      </c>
      <c r="C14" s="8" t="s">
        <v>14</v>
      </c>
    </row>
    <row r="15">
      <c r="B15" s="7" t="s">
        <v>15</v>
      </c>
      <c r="C15" s="8" t="s">
        <v>16</v>
      </c>
    </row>
    <row r="16">
      <c r="B16" s="7" t="s">
        <v>17</v>
      </c>
      <c r="C16" s="8" t="s">
        <v>18</v>
      </c>
    </row>
    <row r="17">
      <c r="B17" s="7" t="s">
        <v>19</v>
      </c>
      <c r="C17" s="8" t="s">
        <v>20</v>
      </c>
    </row>
    <row r="18">
      <c r="B18" s="7" t="s">
        <v>21</v>
      </c>
      <c r="C18" s="8" t="s">
        <v>22</v>
      </c>
    </row>
    <row r="19">
      <c r="B19" s="7" t="s">
        <v>23</v>
      </c>
      <c r="C19" s="8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5:C5"/>
    <mergeCell ref="E5:F5"/>
    <mergeCell ref="H5:I5"/>
    <mergeCell ref="B6:C6"/>
    <mergeCell ref="E6:F6"/>
    <mergeCell ref="H6:I6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40.0"/>
    <col customWidth="1" min="3" max="3" width="34.0"/>
    <col customWidth="1" min="4" max="4" width="45.0"/>
    <col customWidth="1" min="5" max="5" width="30.0"/>
    <col customWidth="1" min="6" max="6" width="12.0"/>
    <col customWidth="1" min="7" max="7" width="14.0"/>
    <col customWidth="1" min="8" max="26" width="8.71"/>
  </cols>
  <sheetData>
    <row r="2">
      <c r="B2" s="1" t="s">
        <v>25</v>
      </c>
    </row>
    <row r="5">
      <c r="B5" s="9" t="s">
        <v>26</v>
      </c>
      <c r="C5" s="9" t="s">
        <v>27</v>
      </c>
      <c r="D5" s="9" t="s">
        <v>28</v>
      </c>
      <c r="E5" s="9" t="s">
        <v>29</v>
      </c>
      <c r="F5" s="9" t="s">
        <v>30</v>
      </c>
      <c r="G5" s="9" t="s">
        <v>31</v>
      </c>
    </row>
    <row r="7">
      <c r="B7" s="10" t="s">
        <v>32</v>
      </c>
      <c r="C7" s="11" t="s">
        <v>33</v>
      </c>
      <c r="D7" s="12" t="s">
        <v>34</v>
      </c>
      <c r="E7" s="13" t="s">
        <v>35</v>
      </c>
      <c r="F7" s="14" t="s">
        <v>36</v>
      </c>
      <c r="G7" s="15" t="s">
        <v>37</v>
      </c>
    </row>
    <row r="8">
      <c r="B8" s="16" t="s">
        <v>38</v>
      </c>
      <c r="C8" s="17" t="s">
        <v>39</v>
      </c>
      <c r="D8" s="18" t="s">
        <v>40</v>
      </c>
      <c r="E8" s="17" t="s">
        <v>35</v>
      </c>
      <c r="F8" s="14" t="s">
        <v>36</v>
      </c>
      <c r="G8" s="15" t="s">
        <v>37</v>
      </c>
    </row>
    <row r="9">
      <c r="B9" s="10" t="s">
        <v>41</v>
      </c>
      <c r="C9" s="11" t="s">
        <v>42</v>
      </c>
      <c r="D9" s="12" t="s">
        <v>43</v>
      </c>
      <c r="E9" s="13" t="s">
        <v>35</v>
      </c>
      <c r="F9" s="19" t="s">
        <v>44</v>
      </c>
      <c r="G9" s="15" t="s">
        <v>37</v>
      </c>
    </row>
    <row r="10">
      <c r="B10" s="16" t="s">
        <v>45</v>
      </c>
      <c r="C10" s="20" t="s">
        <v>46</v>
      </c>
      <c r="D10" s="18" t="s">
        <v>47</v>
      </c>
      <c r="E10" s="17" t="s">
        <v>48</v>
      </c>
      <c r="F10" s="14" t="s">
        <v>36</v>
      </c>
      <c r="G10" s="19" t="s">
        <v>49</v>
      </c>
    </row>
    <row r="11">
      <c r="B11" s="10" t="s">
        <v>50</v>
      </c>
      <c r="C11" s="11" t="s">
        <v>51</v>
      </c>
      <c r="D11" s="12" t="s">
        <v>52</v>
      </c>
      <c r="E11" s="13" t="s">
        <v>48</v>
      </c>
      <c r="F11" s="14" t="s">
        <v>36</v>
      </c>
      <c r="G11" s="19" t="s">
        <v>49</v>
      </c>
    </row>
    <row r="12">
      <c r="B12" s="16" t="s">
        <v>53</v>
      </c>
      <c r="C12" s="20" t="s">
        <v>54</v>
      </c>
      <c r="D12" s="18" t="s">
        <v>55</v>
      </c>
      <c r="E12" s="17" t="s">
        <v>56</v>
      </c>
      <c r="F12" s="19" t="s">
        <v>44</v>
      </c>
      <c r="G12" s="14" t="s">
        <v>57</v>
      </c>
    </row>
    <row r="13">
      <c r="B13" s="10" t="s">
        <v>58</v>
      </c>
      <c r="C13" s="11" t="s">
        <v>59</v>
      </c>
      <c r="D13" s="12" t="s">
        <v>60</v>
      </c>
      <c r="E13" s="13" t="s">
        <v>61</v>
      </c>
      <c r="F13" s="15" t="s">
        <v>62</v>
      </c>
      <c r="G13" s="14" t="s">
        <v>57</v>
      </c>
    </row>
    <row r="14">
      <c r="B14" s="16" t="s">
        <v>63</v>
      </c>
      <c r="C14" s="20" t="s">
        <v>64</v>
      </c>
      <c r="D14" s="18" t="s">
        <v>65</v>
      </c>
      <c r="E14" s="17" t="s">
        <v>61</v>
      </c>
      <c r="F14" s="19" t="s">
        <v>44</v>
      </c>
      <c r="G14" s="14" t="s">
        <v>57</v>
      </c>
    </row>
    <row r="15">
      <c r="B15" s="16" t="s">
        <v>66</v>
      </c>
      <c r="C15" s="21" t="s">
        <v>67</v>
      </c>
    </row>
    <row r="16">
      <c r="B16" s="16" t="s">
        <v>68</v>
      </c>
      <c r="C16" s="21" t="s">
        <v>69</v>
      </c>
    </row>
    <row r="17">
      <c r="B17" s="16" t="s">
        <v>70</v>
      </c>
      <c r="C17" s="21" t="s">
        <v>71</v>
      </c>
    </row>
    <row r="18">
      <c r="B18" s="16" t="s">
        <v>72</v>
      </c>
      <c r="C18" s="21" t="s">
        <v>73</v>
      </c>
    </row>
    <row r="19">
      <c r="B19" s="16" t="s">
        <v>74</v>
      </c>
      <c r="C19" s="21" t="s">
        <v>75</v>
      </c>
    </row>
    <row r="20">
      <c r="B20" s="16" t="s">
        <v>76</v>
      </c>
      <c r="C20" s="21" t="s">
        <v>77</v>
      </c>
    </row>
    <row r="21" ht="15.75" customHeight="1">
      <c r="B21" s="16" t="s">
        <v>78</v>
      </c>
      <c r="C21" s="21" t="s">
        <v>79</v>
      </c>
    </row>
    <row r="22" ht="15.75" customHeight="1">
      <c r="B22" s="16" t="s">
        <v>80</v>
      </c>
      <c r="C22" s="21" t="s">
        <v>81</v>
      </c>
    </row>
    <row r="23" ht="15.75" customHeight="1">
      <c r="B23" s="16" t="s">
        <v>82</v>
      </c>
      <c r="C23" s="22" t="s">
        <v>83</v>
      </c>
    </row>
    <row r="24" ht="15.75" customHeight="1">
      <c r="B24" s="16" t="s">
        <v>84</v>
      </c>
      <c r="C24" s="22" t="s">
        <v>85</v>
      </c>
    </row>
    <row r="25" ht="15.75" customHeight="1">
      <c r="B25" s="16" t="s">
        <v>86</v>
      </c>
      <c r="C25" s="22" t="s">
        <v>87</v>
      </c>
    </row>
    <row r="26" ht="15.75" customHeight="1">
      <c r="B26" s="16" t="s">
        <v>88</v>
      </c>
      <c r="C26" s="22" t="s">
        <v>89</v>
      </c>
    </row>
    <row r="27" ht="15.75" customHeight="1">
      <c r="B27" s="16" t="s">
        <v>90</v>
      </c>
      <c r="C27" s="22" t="s">
        <v>91</v>
      </c>
    </row>
    <row r="28" ht="15.75" customHeight="1">
      <c r="B28" s="16" t="s">
        <v>92</v>
      </c>
      <c r="C28" s="22" t="s">
        <v>93</v>
      </c>
    </row>
    <row r="29" ht="15.75" customHeight="1">
      <c r="B29" s="16" t="s">
        <v>94</v>
      </c>
      <c r="C29" s="22" t="s">
        <v>95</v>
      </c>
    </row>
    <row r="30" ht="15.75" customHeight="1">
      <c r="B30" s="16" t="s">
        <v>96</v>
      </c>
      <c r="C30" s="22" t="s">
        <v>97</v>
      </c>
    </row>
    <row r="31" ht="15.75" customHeight="1">
      <c r="B31" s="16" t="s">
        <v>98</v>
      </c>
      <c r="C31" s="22" t="s">
        <v>99</v>
      </c>
    </row>
    <row r="32" ht="15.75" customHeight="1">
      <c r="B32" s="16" t="s">
        <v>100</v>
      </c>
      <c r="C32" s="22" t="s">
        <v>101</v>
      </c>
    </row>
    <row r="33" ht="15.75" customHeight="1">
      <c r="B33" s="16" t="s">
        <v>102</v>
      </c>
      <c r="C33" s="22" t="s">
        <v>103</v>
      </c>
    </row>
    <row r="34" ht="15.75" customHeight="1">
      <c r="B34" s="16" t="s">
        <v>104</v>
      </c>
      <c r="C34" s="22" t="s">
        <v>105</v>
      </c>
    </row>
    <row r="35" ht="15.75" customHeight="1">
      <c r="B35" s="16" t="s">
        <v>106</v>
      </c>
      <c r="C35" s="22" t="s">
        <v>107</v>
      </c>
    </row>
    <row r="36" ht="15.75" customHeight="1">
      <c r="B36" s="16" t="s">
        <v>108</v>
      </c>
      <c r="C36" s="22" t="s">
        <v>109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50.0"/>
    <col customWidth="1" min="3" max="3" width="31.0"/>
    <col customWidth="1" min="4" max="4" width="45.0"/>
    <col customWidth="1" min="5" max="5" width="50.0"/>
    <col customWidth="1" min="6" max="6" width="12.0"/>
    <col customWidth="1" min="7" max="26" width="8.71"/>
  </cols>
  <sheetData>
    <row r="2">
      <c r="B2" s="1" t="s">
        <v>110</v>
      </c>
    </row>
    <row r="5">
      <c r="B5" s="9" t="s">
        <v>26</v>
      </c>
      <c r="C5" s="9" t="s">
        <v>111</v>
      </c>
      <c r="D5" s="9" t="s">
        <v>112</v>
      </c>
      <c r="E5" s="9" t="s">
        <v>113</v>
      </c>
      <c r="F5" s="9" t="s">
        <v>30</v>
      </c>
    </row>
    <row r="7">
      <c r="B7" s="10" t="s">
        <v>114</v>
      </c>
      <c r="C7" s="11" t="s">
        <v>115</v>
      </c>
      <c r="D7" s="12" t="s">
        <v>116</v>
      </c>
      <c r="E7" s="12" t="s">
        <v>117</v>
      </c>
      <c r="F7" s="14" t="s">
        <v>36</v>
      </c>
    </row>
    <row r="8">
      <c r="B8" s="16" t="s">
        <v>118</v>
      </c>
      <c r="C8" s="20" t="s">
        <v>119</v>
      </c>
      <c r="D8" s="18" t="s">
        <v>120</v>
      </c>
      <c r="E8" s="18" t="s">
        <v>121</v>
      </c>
      <c r="F8" s="14" t="s">
        <v>36</v>
      </c>
    </row>
    <row r="9">
      <c r="B9" s="10" t="s">
        <v>122</v>
      </c>
      <c r="C9" s="11" t="s">
        <v>123</v>
      </c>
      <c r="D9" s="12" t="s">
        <v>124</v>
      </c>
      <c r="E9" s="12" t="s">
        <v>125</v>
      </c>
      <c r="F9" s="19" t="s">
        <v>44</v>
      </c>
    </row>
    <row r="10">
      <c r="B10" s="16" t="s">
        <v>126</v>
      </c>
      <c r="C10" s="17" t="s">
        <v>127</v>
      </c>
      <c r="D10" s="18" t="s">
        <v>128</v>
      </c>
      <c r="E10" s="18" t="s">
        <v>129</v>
      </c>
      <c r="F10" s="14" t="s">
        <v>36</v>
      </c>
    </row>
    <row r="11">
      <c r="B11" s="16" t="s">
        <v>130</v>
      </c>
    </row>
    <row r="12">
      <c r="B12" s="16" t="s">
        <v>131</v>
      </c>
    </row>
    <row r="13">
      <c r="B13" s="16" t="s">
        <v>132</v>
      </c>
    </row>
    <row r="14">
      <c r="B14" s="16" t="s">
        <v>133</v>
      </c>
    </row>
    <row r="15">
      <c r="B15" s="16" t="s">
        <v>134</v>
      </c>
    </row>
    <row r="16">
      <c r="B16" s="16" t="s">
        <v>135</v>
      </c>
    </row>
    <row r="17">
      <c r="B17" s="16" t="s">
        <v>136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50.0"/>
    <col customWidth="1" min="3" max="3" width="78.29"/>
    <col customWidth="1" min="4" max="4" width="18.0"/>
    <col customWidth="1" min="5" max="5" width="19.0"/>
    <col customWidth="1" min="6" max="6" width="26.0"/>
    <col customWidth="1" min="7" max="7" width="14.0"/>
    <col customWidth="1" min="8" max="26" width="8.71"/>
  </cols>
  <sheetData>
    <row r="2">
      <c r="B2" s="1" t="s">
        <v>137</v>
      </c>
    </row>
    <row r="5">
      <c r="B5" s="9" t="s">
        <v>138</v>
      </c>
      <c r="C5" s="9" t="s">
        <v>139</v>
      </c>
      <c r="D5" s="9" t="s">
        <v>140</v>
      </c>
      <c r="E5" s="9" t="s">
        <v>141</v>
      </c>
      <c r="F5" s="9" t="s">
        <v>142</v>
      </c>
      <c r="G5" s="9" t="s">
        <v>31</v>
      </c>
    </row>
    <row r="7">
      <c r="B7" s="10" t="s">
        <v>143</v>
      </c>
      <c r="C7" s="13" t="s">
        <v>144</v>
      </c>
      <c r="D7" s="10" t="s">
        <v>145</v>
      </c>
      <c r="E7" s="10" t="s">
        <v>24</v>
      </c>
      <c r="F7" s="13" t="s">
        <v>146</v>
      </c>
      <c r="G7" s="15" t="s">
        <v>37</v>
      </c>
    </row>
    <row r="8">
      <c r="B8" s="16" t="s">
        <v>147</v>
      </c>
      <c r="C8" s="17" t="s">
        <v>148</v>
      </c>
      <c r="D8" s="16" t="s">
        <v>149</v>
      </c>
      <c r="E8" s="16" t="s">
        <v>150</v>
      </c>
      <c r="F8" s="17" t="s">
        <v>151</v>
      </c>
      <c r="G8" s="15" t="s">
        <v>37</v>
      </c>
    </row>
    <row r="9">
      <c r="B9" s="10" t="s">
        <v>152</v>
      </c>
      <c r="C9" s="13" t="s">
        <v>153</v>
      </c>
      <c r="D9" s="10" t="s">
        <v>154</v>
      </c>
      <c r="E9" s="10" t="s">
        <v>155</v>
      </c>
      <c r="F9" s="11" t="s">
        <v>156</v>
      </c>
      <c r="G9" s="15" t="s">
        <v>37</v>
      </c>
    </row>
    <row r="10">
      <c r="B10" s="16" t="s">
        <v>157</v>
      </c>
      <c r="C10" s="17" t="s">
        <v>158</v>
      </c>
      <c r="D10" s="16" t="s">
        <v>159</v>
      </c>
      <c r="E10" s="16" t="s">
        <v>160</v>
      </c>
      <c r="F10" s="17" t="s">
        <v>156</v>
      </c>
      <c r="G10" s="14" t="s">
        <v>57</v>
      </c>
    </row>
    <row r="11">
      <c r="B11" s="10" t="s">
        <v>161</v>
      </c>
      <c r="C11" s="13" t="s">
        <v>162</v>
      </c>
      <c r="D11" s="10" t="s">
        <v>163</v>
      </c>
      <c r="E11" s="10" t="s">
        <v>164</v>
      </c>
      <c r="F11" s="13" t="s">
        <v>151</v>
      </c>
      <c r="G11" s="14" t="s">
        <v>57</v>
      </c>
    </row>
    <row r="12">
      <c r="B12" s="16" t="s">
        <v>165</v>
      </c>
      <c r="C12" s="17" t="s">
        <v>166</v>
      </c>
      <c r="D12" s="16" t="s">
        <v>167</v>
      </c>
      <c r="E12" s="16" t="s">
        <v>168</v>
      </c>
      <c r="F12" s="17" t="s">
        <v>156</v>
      </c>
      <c r="G12" s="14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34.0"/>
    <col customWidth="1" min="3" max="3" width="10.0"/>
    <col customWidth="1" min="4" max="4" width="81.86"/>
    <col customWidth="1" min="5" max="5" width="39.0"/>
    <col customWidth="1" min="6" max="26" width="8.71"/>
  </cols>
  <sheetData>
    <row r="2">
      <c r="B2" s="1" t="s">
        <v>169</v>
      </c>
    </row>
    <row r="5">
      <c r="B5" s="9" t="s">
        <v>170</v>
      </c>
      <c r="C5" s="9" t="s">
        <v>171</v>
      </c>
      <c r="D5" s="9" t="s">
        <v>172</v>
      </c>
      <c r="E5" s="9" t="s">
        <v>173</v>
      </c>
    </row>
    <row r="7">
      <c r="B7" s="10" t="s">
        <v>145</v>
      </c>
      <c r="C7" s="10" t="s">
        <v>174</v>
      </c>
      <c r="D7" s="13" t="s">
        <v>175</v>
      </c>
      <c r="E7" s="13" t="s">
        <v>176</v>
      </c>
    </row>
    <row r="8">
      <c r="B8" s="16" t="s">
        <v>177</v>
      </c>
      <c r="C8" s="16" t="s">
        <v>178</v>
      </c>
      <c r="D8" s="17" t="s">
        <v>179</v>
      </c>
      <c r="E8" s="17" t="s">
        <v>151</v>
      </c>
    </row>
    <row r="9">
      <c r="B9" s="10" t="s">
        <v>24</v>
      </c>
      <c r="C9" s="10" t="s">
        <v>180</v>
      </c>
      <c r="D9" s="13" t="s">
        <v>181</v>
      </c>
      <c r="E9" s="13" t="s">
        <v>151</v>
      </c>
    </row>
    <row r="10">
      <c r="B10" s="16" t="s">
        <v>182</v>
      </c>
      <c r="C10" s="16" t="s">
        <v>183</v>
      </c>
      <c r="D10" s="17" t="s">
        <v>184</v>
      </c>
      <c r="E10" s="17" t="s">
        <v>185</v>
      </c>
    </row>
    <row r="11">
      <c r="B11" s="10" t="s">
        <v>186</v>
      </c>
      <c r="C11" s="10" t="s">
        <v>187</v>
      </c>
      <c r="D11" s="13" t="s">
        <v>188</v>
      </c>
      <c r="E11" s="13" t="s">
        <v>151</v>
      </c>
    </row>
    <row r="12">
      <c r="B12" s="16" t="s">
        <v>189</v>
      </c>
      <c r="C12" s="16" t="s">
        <v>190</v>
      </c>
      <c r="D12" s="17" t="s">
        <v>191</v>
      </c>
      <c r="E12" s="17" t="s">
        <v>151</v>
      </c>
    </row>
    <row r="13">
      <c r="B13" s="10" t="s">
        <v>192</v>
      </c>
      <c r="C13" s="10" t="s">
        <v>2</v>
      </c>
      <c r="D13" s="13" t="s">
        <v>193</v>
      </c>
      <c r="E13" s="13" t="s">
        <v>194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2026-07-01T18:03:14Z</dcterms:created>
  <dc:creator>openpyxl</dc:creator>
</cp:coreProperties>
</file>